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ong_Hop" sheetId="1" r:id="rId1"/>
    <sheet name="Sinh VIen CNTT" sheetId="2" r:id="rId2"/>
    <sheet name="SV lop_DI8T9A1 mon NT_CNTT" sheetId="3" r:id="rId3"/>
    <sheet name="SV_Diem_D_F" sheetId="4" r:id="rId4"/>
    <sheet name="SV dang ky hoc hon 1 m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<sst xmlns="http://schemas.openxmlformats.org/spreadsheetml/2006/main" count="179" uniqueCount="83">
  <si>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</si>
  <si>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</si>
  <si>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</si>
  <si>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</si>
  <si>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</si>
  <si>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</si>
  <si>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</si>
  <si>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</si>
  <si>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</si>
  <si>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</si>
  <si>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</si>
  <si>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</si>
  <si>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</si>
  <si>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DII8V7A5</t>
  </si>
  <si>
    <t>Information Technology</t>
  </si>
  <si>
    <t xml:space="preserve">CT179 </t>
  </si>
  <si>
    <t>System Administration</t>
  </si>
  <si>
    <t>B</t>
  </si>
  <si>
    <t>B1706575</t>
  </si>
  <si>
    <t>Pham Hai</t>
  </si>
  <si>
    <t>Do</t>
  </si>
  <si>
    <t>DI19V7A2</t>
  </si>
  <si>
    <t xml:space="preserve">CT178 </t>
  </si>
  <si>
    <t xml:space="preserve">Principles of Operating Systems </t>
  </si>
  <si>
    <t>B1706487</t>
  </si>
  <si>
    <t xml:space="preserve"> Nguyen Tran</t>
  </si>
  <si>
    <t>Le</t>
  </si>
  <si>
    <t xml:space="preserve">DI19V7A5 </t>
  </si>
  <si>
    <t>C+</t>
  </si>
  <si>
    <t>B200000</t>
  </si>
  <si>
    <t>Mai Thanh</t>
  </si>
  <si>
    <t>Dat</t>
  </si>
  <si>
    <t>F</t>
  </si>
  <si>
    <t>C</t>
  </si>
  <si>
    <t xml:space="preserve">B1809110 </t>
  </si>
  <si>
    <t xml:space="preserve">Thi </t>
  </si>
  <si>
    <t xml:space="preserve">Dui </t>
  </si>
  <si>
    <t xml:space="preserve">DI19V7A1 </t>
  </si>
  <si>
    <t xml:space="preserve">B1809222 </t>
  </si>
  <si>
    <t>Nguyen</t>
  </si>
  <si>
    <t xml:space="preserve">Duy </t>
  </si>
  <si>
    <t xml:space="preserve">DI19V7A2 </t>
  </si>
  <si>
    <t xml:space="preserve">CT200 </t>
  </si>
  <si>
    <t xml:space="preserve">Fundamentals of Information Technology </t>
  </si>
  <si>
    <t xml:space="preserve">B1706582 </t>
  </si>
  <si>
    <t>Le Trong</t>
  </si>
  <si>
    <t xml:space="preserve">Hieu </t>
  </si>
  <si>
    <t xml:space="preserve">B1809497 </t>
  </si>
  <si>
    <t>Luong Thi</t>
  </si>
  <si>
    <t xml:space="preserve">Ni </t>
  </si>
  <si>
    <t xml:space="preserve">DI19V7A4 </t>
  </si>
  <si>
    <t xml:space="preserve">B1809236 </t>
  </si>
  <si>
    <t>Nguyen Minh</t>
  </si>
  <si>
    <t>D</t>
  </si>
  <si>
    <t xml:space="preserve">B1609816 </t>
  </si>
  <si>
    <t>Phan Thanh</t>
  </si>
  <si>
    <t xml:space="preserve">Giang </t>
  </si>
  <si>
    <t xml:space="preserve">DI16Z6A2 </t>
  </si>
  <si>
    <t>Computer Science</t>
  </si>
  <si>
    <t>B+</t>
  </si>
  <si>
    <t xml:space="preserve">B1208601 </t>
  </si>
  <si>
    <t xml:space="preserve">Ho Thi </t>
  </si>
  <si>
    <t xml:space="preserve">Hue </t>
  </si>
  <si>
    <t xml:space="preserve">DI12Z6A2 </t>
  </si>
  <si>
    <t xml:space="preserve">B1505884 </t>
  </si>
  <si>
    <t>Nguyen Duc</t>
  </si>
  <si>
    <t xml:space="preserve">Huy </t>
  </si>
  <si>
    <t xml:space="preserve">DI1596A2 </t>
  </si>
  <si>
    <t>Software Engineering</t>
  </si>
  <si>
    <t xml:space="preserve">B1807568 </t>
  </si>
  <si>
    <t>Doan Nhat</t>
  </si>
  <si>
    <t xml:space="preserve">Linh </t>
  </si>
  <si>
    <t xml:space="preserve">DI18T9A1 </t>
  </si>
  <si>
    <t>Computer Networks And Communication</t>
  </si>
  <si>
    <t xml:space="preserve">B1807555 </t>
  </si>
  <si>
    <t>Nguyen Trong</t>
  </si>
  <si>
    <t xml:space="preserve">B1807569 </t>
  </si>
  <si>
    <t>Nguyen Van</t>
  </si>
  <si>
    <t>D+</t>
  </si>
  <si>
    <t xml:space="preserve">B1807554 </t>
  </si>
  <si>
    <t>Dinh Ho</t>
  </si>
  <si>
    <t xml:space="preserve">Trung </t>
  </si>
  <si>
    <t>Fundamentals of Information 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</si>
</sst>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6FA8DC"/>
        <bgColor rgb="FF6FA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9"/>
  <sheetViews>
    <sheetView tabSelected="1" workbookViewId="0">
      <selection activeCell="D29" sqref="D29"/>
    </sheetView>
  </sheetViews>
  <sheetFormatPr defaultColWidth="12.6285714285714" defaultRowHeight="15.75" customHeight="1"/>
  <cols>
    <col min="6" max="6" width="33.752380952381" customWidth="1"/>
    <col min="8" max="8" width="41.5047619047619" customWidth="1"/>
  </cols>
  <sheetData>
    <row r="1" customHeight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748021</v>
      </c>
      <c r="F2" s="2" t="s">
        <v>14</v>
      </c>
      <c r="G2" s="2" t="s">
        <v>15</v>
      </c>
      <c r="H2" s="2" t="s">
        <v>16</v>
      </c>
      <c r="I2" s="2">
        <v>2</v>
      </c>
      <c r="J2" s="2" t="s">
        <v>17</v>
      </c>
    </row>
    <row r="3" customHeight="1" spans="1:10">
      <c r="A3" s="2" t="s">
        <v>18</v>
      </c>
      <c r="B3" s="2" t="s">
        <v>19</v>
      </c>
      <c r="C3" s="2" t="s">
        <v>20</v>
      </c>
      <c r="D3" s="2" t="s">
        <v>21</v>
      </c>
      <c r="E3" s="2">
        <v>7480201</v>
      </c>
      <c r="F3" s="2" t="s">
        <v>14</v>
      </c>
      <c r="G3" s="2" t="s">
        <v>22</v>
      </c>
      <c r="H3" s="2" t="s">
        <v>23</v>
      </c>
      <c r="I3" s="2">
        <v>3</v>
      </c>
      <c r="J3" s="2" t="s">
        <v>17</v>
      </c>
    </row>
    <row r="4" customHeight="1" spans="1:10">
      <c r="A4" s="2" t="s">
        <v>24</v>
      </c>
      <c r="B4" s="2" t="s">
        <v>25</v>
      </c>
      <c r="C4" s="2" t="s">
        <v>26</v>
      </c>
      <c r="D4" s="2" t="s">
        <v>27</v>
      </c>
      <c r="E4" s="2">
        <v>7480201</v>
      </c>
      <c r="F4" s="2" t="s">
        <v>14</v>
      </c>
      <c r="G4" s="2" t="s">
        <v>22</v>
      </c>
      <c r="H4" s="2" t="s">
        <v>16</v>
      </c>
      <c r="I4" s="2">
        <v>2</v>
      </c>
      <c r="J4" s="2" t="s">
        <v>28</v>
      </c>
    </row>
    <row r="5" customHeight="1" spans="1:10">
      <c r="A5" s="2" t="s">
        <v>29</v>
      </c>
      <c r="B5" s="2" t="s">
        <v>30</v>
      </c>
      <c r="C5" s="2" t="s">
        <v>31</v>
      </c>
      <c r="D5" s="2" t="s">
        <v>27</v>
      </c>
      <c r="E5" s="2">
        <v>7480201</v>
      </c>
      <c r="F5" s="2" t="s">
        <v>14</v>
      </c>
      <c r="G5" s="2" t="s">
        <v>15</v>
      </c>
      <c r="H5" s="2" t="s">
        <v>16</v>
      </c>
      <c r="I5" s="2">
        <v>2</v>
      </c>
      <c r="J5" s="2" t="s">
        <v>32</v>
      </c>
    </row>
    <row r="6" customHeight="1" spans="1:10">
      <c r="A6" s="2" t="s">
        <v>29</v>
      </c>
      <c r="B6" s="2" t="s">
        <v>30</v>
      </c>
      <c r="C6" s="2" t="s">
        <v>31</v>
      </c>
      <c r="D6" s="2" t="s">
        <v>27</v>
      </c>
      <c r="E6" s="2">
        <v>7480201</v>
      </c>
      <c r="F6" s="2" t="s">
        <v>14</v>
      </c>
      <c r="G6" s="2" t="s">
        <v>22</v>
      </c>
      <c r="H6" s="2" t="s">
        <v>23</v>
      </c>
      <c r="I6" s="2">
        <v>3</v>
      </c>
      <c r="J6" s="2" t="s">
        <v>33</v>
      </c>
    </row>
    <row r="7" customHeight="1" spans="1:10">
      <c r="A7" s="2" t="s">
        <v>34</v>
      </c>
      <c r="B7" s="2" t="s">
        <v>35</v>
      </c>
      <c r="C7" s="2" t="s">
        <v>36</v>
      </c>
      <c r="D7" s="2" t="s">
        <v>37</v>
      </c>
      <c r="E7" s="2">
        <v>7480201</v>
      </c>
      <c r="F7" s="2" t="s">
        <v>14</v>
      </c>
      <c r="G7" s="2" t="s">
        <v>15</v>
      </c>
      <c r="H7" s="2" t="s">
        <v>16</v>
      </c>
      <c r="I7" s="2">
        <v>2</v>
      </c>
      <c r="J7" s="2" t="s">
        <v>17</v>
      </c>
    </row>
    <row r="8" customHeight="1" spans="1:10">
      <c r="A8" s="2" t="s">
        <v>38</v>
      </c>
      <c r="B8" s="2" t="s">
        <v>39</v>
      </c>
      <c r="C8" s="2" t="s">
        <v>40</v>
      </c>
      <c r="D8" s="2" t="s">
        <v>41</v>
      </c>
      <c r="E8" s="2">
        <v>7480201</v>
      </c>
      <c r="F8" s="2" t="s">
        <v>14</v>
      </c>
      <c r="G8" s="2" t="s">
        <v>42</v>
      </c>
      <c r="H8" s="2" t="s">
        <v>43</v>
      </c>
      <c r="I8" s="2">
        <v>4</v>
      </c>
      <c r="J8" s="2" t="s">
        <v>17</v>
      </c>
    </row>
    <row r="9" customHeight="1" spans="1:10">
      <c r="A9" s="2" t="s">
        <v>44</v>
      </c>
      <c r="B9" s="2" t="s">
        <v>45</v>
      </c>
      <c r="C9" s="2" t="s">
        <v>46</v>
      </c>
      <c r="D9" s="2" t="s">
        <v>41</v>
      </c>
      <c r="E9" s="2">
        <v>7480201</v>
      </c>
      <c r="F9" s="2" t="s">
        <v>14</v>
      </c>
      <c r="G9" s="2" t="s">
        <v>22</v>
      </c>
      <c r="H9" s="2" t="s">
        <v>23</v>
      </c>
      <c r="I9" s="2">
        <v>3</v>
      </c>
      <c r="J9" s="2" t="s">
        <v>33</v>
      </c>
    </row>
    <row r="10" customHeight="1" spans="1:10">
      <c r="A10" s="2" t="s">
        <v>47</v>
      </c>
      <c r="B10" s="2" t="s">
        <v>48</v>
      </c>
      <c r="C10" s="2" t="s">
        <v>49</v>
      </c>
      <c r="D10" s="2" t="s">
        <v>50</v>
      </c>
      <c r="E10" s="2">
        <v>7480201</v>
      </c>
      <c r="F10" s="2" t="s">
        <v>14</v>
      </c>
      <c r="G10" s="2" t="s">
        <v>22</v>
      </c>
      <c r="H10" s="2" t="s">
        <v>23</v>
      </c>
      <c r="I10" s="2">
        <v>3</v>
      </c>
      <c r="J10" s="2" t="s">
        <v>28</v>
      </c>
    </row>
    <row r="11" customHeight="1" spans="1:10">
      <c r="A11" s="2" t="s">
        <v>51</v>
      </c>
      <c r="B11" s="2" t="s">
        <v>52</v>
      </c>
      <c r="C11" s="2" t="s">
        <v>46</v>
      </c>
      <c r="D11" s="2" t="s">
        <v>41</v>
      </c>
      <c r="E11" s="2">
        <v>7480201</v>
      </c>
      <c r="F11" s="2" t="s">
        <v>14</v>
      </c>
      <c r="G11" s="2" t="s">
        <v>15</v>
      </c>
      <c r="H11" s="2" t="s">
        <v>16</v>
      </c>
      <c r="I11" s="2">
        <v>2</v>
      </c>
      <c r="J11" s="2" t="s">
        <v>53</v>
      </c>
    </row>
    <row r="12" customHeight="1" spans="1:10">
      <c r="A12" s="2" t="s">
        <v>54</v>
      </c>
      <c r="B12" s="2" t="s">
        <v>55</v>
      </c>
      <c r="C12" s="2" t="s">
        <v>56</v>
      </c>
      <c r="D12" s="2" t="s">
        <v>57</v>
      </c>
      <c r="E12" s="2">
        <v>7480101</v>
      </c>
      <c r="F12" s="2" t="s">
        <v>58</v>
      </c>
      <c r="G12" s="2" t="s">
        <v>22</v>
      </c>
      <c r="H12" s="2" t="s">
        <v>23</v>
      </c>
      <c r="I12" s="2">
        <v>3</v>
      </c>
      <c r="J12" s="2" t="s">
        <v>59</v>
      </c>
    </row>
    <row r="13" customHeight="1" spans="1:10">
      <c r="A13" s="2" t="s">
        <v>60</v>
      </c>
      <c r="B13" s="2" t="s">
        <v>61</v>
      </c>
      <c r="C13" s="2" t="s">
        <v>62</v>
      </c>
      <c r="D13" s="2" t="s">
        <v>63</v>
      </c>
      <c r="E13" s="2">
        <v>7480101</v>
      </c>
      <c r="F13" s="2" t="s">
        <v>58</v>
      </c>
      <c r="G13" s="2" t="s">
        <v>15</v>
      </c>
      <c r="H13" s="2" t="s">
        <v>16</v>
      </c>
      <c r="I13" s="2">
        <v>2</v>
      </c>
      <c r="J13" s="2" t="s">
        <v>33</v>
      </c>
    </row>
    <row r="14" customHeight="1" spans="1:10">
      <c r="A14" s="2" t="s">
        <v>64</v>
      </c>
      <c r="B14" s="2" t="s">
        <v>65</v>
      </c>
      <c r="C14" s="2" t="s">
        <v>66</v>
      </c>
      <c r="D14" s="2" t="s">
        <v>67</v>
      </c>
      <c r="E14" s="2">
        <v>7480103</v>
      </c>
      <c r="F14" s="2" t="s">
        <v>68</v>
      </c>
      <c r="G14" s="2" t="s">
        <v>22</v>
      </c>
      <c r="H14" s="2" t="s">
        <v>23</v>
      </c>
      <c r="I14" s="2">
        <v>3</v>
      </c>
      <c r="J14" s="2" t="s">
        <v>59</v>
      </c>
    </row>
    <row r="15" customHeight="1" spans="1:10">
      <c r="A15" s="2" t="s">
        <v>69</v>
      </c>
      <c r="B15" s="2" t="s">
        <v>70</v>
      </c>
      <c r="C15" s="2" t="s">
        <v>71</v>
      </c>
      <c r="D15" s="2" t="s">
        <v>72</v>
      </c>
      <c r="E15" s="2">
        <v>7480102</v>
      </c>
      <c r="F15" s="2" t="s">
        <v>73</v>
      </c>
      <c r="G15" s="2" t="s">
        <v>42</v>
      </c>
      <c r="H15" s="2" t="s">
        <v>43</v>
      </c>
      <c r="I15" s="2">
        <v>4</v>
      </c>
      <c r="J15" s="2" t="s">
        <v>33</v>
      </c>
    </row>
    <row r="16" customHeight="1" spans="1:10">
      <c r="A16" s="2" t="s">
        <v>74</v>
      </c>
      <c r="B16" s="2" t="s">
        <v>75</v>
      </c>
      <c r="C16" s="2" t="s">
        <v>46</v>
      </c>
      <c r="D16" s="2" t="s">
        <v>72</v>
      </c>
      <c r="E16" s="2">
        <v>7480102</v>
      </c>
      <c r="F16" s="2" t="s">
        <v>73</v>
      </c>
      <c r="G16" s="2" t="s">
        <v>22</v>
      </c>
      <c r="H16" s="2" t="s">
        <v>23</v>
      </c>
      <c r="I16" s="2">
        <v>3</v>
      </c>
      <c r="J16" s="2" t="s">
        <v>28</v>
      </c>
    </row>
    <row r="17" customHeight="1" spans="1:10">
      <c r="A17" s="2" t="s">
        <v>76</v>
      </c>
      <c r="B17" s="2" t="s">
        <v>77</v>
      </c>
      <c r="C17" s="2" t="s">
        <v>71</v>
      </c>
      <c r="D17" s="2" t="s">
        <v>72</v>
      </c>
      <c r="E17" s="2">
        <v>7480102</v>
      </c>
      <c r="F17" s="2" t="s">
        <v>73</v>
      </c>
      <c r="G17" s="2" t="s">
        <v>42</v>
      </c>
      <c r="H17" s="2" t="s">
        <v>43</v>
      </c>
      <c r="I17" s="2">
        <v>4</v>
      </c>
      <c r="J17" s="2" t="s">
        <v>78</v>
      </c>
    </row>
    <row r="18" customHeight="1" spans="1:10">
      <c r="A18" s="2" t="s">
        <v>79</v>
      </c>
      <c r="B18" s="2" t="s">
        <v>80</v>
      </c>
      <c r="C18" s="2" t="s">
        <v>81</v>
      </c>
      <c r="D18" s="2" t="s">
        <v>72</v>
      </c>
      <c r="E18" s="2">
        <v>7480102</v>
      </c>
      <c r="F18" s="2" t="s">
        <v>73</v>
      </c>
      <c r="G18" s="2" t="s">
        <v>42</v>
      </c>
      <c r="H18" s="2" t="s">
        <v>43</v>
      </c>
      <c r="I18" s="2">
        <v>4</v>
      </c>
      <c r="J18" s="2" t="s">
        <v>33</v>
      </c>
    </row>
    <row r="19" customHeight="1" spans="1:10">
      <c r="A19" s="2" t="s">
        <v>74</v>
      </c>
      <c r="B19" s="2" t="s">
        <v>75</v>
      </c>
      <c r="C19" s="2" t="s">
        <v>46</v>
      </c>
      <c r="D19" s="2" t="s">
        <v>72</v>
      </c>
      <c r="E19" s="2">
        <v>7480102</v>
      </c>
      <c r="F19" s="2" t="s">
        <v>73</v>
      </c>
      <c r="G19" s="2" t="s">
        <v>42</v>
      </c>
      <c r="H19" s="2" t="s">
        <v>43</v>
      </c>
      <c r="I19" s="2">
        <v>4</v>
      </c>
      <c r="J19" s="2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selection activeCell="C1" sqref="C$1:C$1048576"/>
    </sheetView>
  </sheetViews>
  <sheetFormatPr defaultColWidth="12.6285714285714" defaultRowHeight="15.75" customHeight="1" outlineLevelCol="3"/>
  <cols>
    <col min="4" max="4" width="30" customWidth="1"/>
    <col min="6" max="6" width="19.247619047619" customWidth="1"/>
  </cols>
  <sheetData>
    <row r="1" customHeight="1" spans="1:4">
      <c r="A1" s="6" t="str">
        <f>IFERROR(__xludf.DUMMYFUNCTION("QUERY(Tong_Hop!A:J,""select A,max(B),max(C),max(F) where F='Information Technology' group by A"",1)"),"MSSV")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nganh")</f>
        <v>Ten nganh</v>
      </c>
    </row>
    <row r="2" customHeight="1" spans="1:4">
      <c r="A2" s="2" t="str">
        <f>IFERROR(__xludf.DUMMYFUNCTION("""COMPUTED_VALUE"""),"B1706487")</f>
        <v>B1706487</v>
      </c>
      <c r="B2" s="2" t="str">
        <f>IFERROR(__xludf.DUMMYFUNCTION("""COMPUTED_VALUE""")," Nguyen Tran")</f>
        <v> Nguyen Tran</v>
      </c>
      <c r="C2" s="2" t="str">
        <f>IFERROR(__xludf.DUMMYFUNCTION("""COMPUTED_VALUE"""),"Le")</f>
        <v>Le</v>
      </c>
      <c r="D2" s="2" t="str">
        <f>IFERROR(__xludf.DUMMYFUNCTION("""COMPUTED_VALUE"""),"Information Technology")</f>
        <v>Information Technology</v>
      </c>
    </row>
    <row r="3" customHeight="1" spans="1:4">
      <c r="A3" s="2" t="str">
        <f>IFERROR(__xludf.DUMMYFUNCTION("""COMPUTED_VALUE"""),"B1706575")</f>
        <v>B1706575</v>
      </c>
      <c r="B3" s="2" t="str">
        <f>IFERROR(__xludf.DUMMYFUNCTION("""COMPUTED_VALUE"""),"Pham Hai")</f>
        <v>Pham Hai</v>
      </c>
      <c r="C3" s="2" t="str">
        <f>IFERROR(__xludf.DUMMYFUNCTION("""COMPUTED_VALUE"""),"Do")</f>
        <v>Do</v>
      </c>
      <c r="D3" s="2" t="str">
        <f>IFERROR(__xludf.DUMMYFUNCTION("""COMPUTED_VALUE"""),"Information Technology")</f>
        <v>Information Technology</v>
      </c>
    </row>
    <row r="4" customHeight="1" spans="1:4">
      <c r="A4" s="2" t="str">
        <f>IFERROR(__xludf.DUMMYFUNCTION("""COMPUTED_VALUE"""),"B1706582 ")</f>
        <v>B1706582 </v>
      </c>
      <c r="B4" s="2" t="str">
        <f>IFERROR(__xludf.DUMMYFUNCTION("""COMPUTED_VALUE"""),"Le Trong")</f>
        <v>Le Trong</v>
      </c>
      <c r="C4" s="2" t="str">
        <f>IFERROR(__xludf.DUMMYFUNCTION("""COMPUTED_VALUE"""),"Hieu ")</f>
        <v>Hieu </v>
      </c>
      <c r="D4" s="2" t="str">
        <f>IFERROR(__xludf.DUMMYFUNCTION("""COMPUTED_VALUE"""),"Information Technology")</f>
        <v>Information Technology</v>
      </c>
    </row>
    <row r="5" customHeight="1" spans="1:4">
      <c r="A5" s="2" t="str">
        <f>IFERROR(__xludf.DUMMYFUNCTION("""COMPUTED_VALUE"""),"B1809110 ")</f>
        <v>B1809110 </v>
      </c>
      <c r="B5" s="2" t="str">
        <f>IFERROR(__xludf.DUMMYFUNCTION("""COMPUTED_VALUE"""),"Thi ")</f>
        <v>Thi </v>
      </c>
      <c r="C5" s="2" t="str">
        <f>IFERROR(__xludf.DUMMYFUNCTION("""COMPUTED_VALUE"""),"Dui ")</f>
        <v>Dui </v>
      </c>
      <c r="D5" s="2" t="str">
        <f>IFERROR(__xludf.DUMMYFUNCTION("""COMPUTED_VALUE"""),"Information Technology")</f>
        <v>Information Technology</v>
      </c>
    </row>
    <row r="6" customHeight="1" spans="1:4">
      <c r="A6" s="2" t="str">
        <f>IFERROR(__xludf.DUMMYFUNCTION("""COMPUTED_VALUE"""),"B1809222 ")</f>
        <v>B1809222 </v>
      </c>
      <c r="B6" s="2" t="str">
        <f>IFERROR(__xludf.DUMMYFUNCTION("""COMPUTED_VALUE"""),"Nguyen")</f>
        <v>Nguyen</v>
      </c>
      <c r="C6" s="2" t="str">
        <f>IFERROR(__xludf.DUMMYFUNCTION("""COMPUTED_VALUE"""),"Duy ")</f>
        <v>Duy </v>
      </c>
      <c r="D6" s="2" t="str">
        <f>IFERROR(__xludf.DUMMYFUNCTION("""COMPUTED_VALUE"""),"Information Technology")</f>
        <v>Information Technology</v>
      </c>
    </row>
    <row r="7" customHeight="1" spans="1:4">
      <c r="A7" s="2" t="str">
        <f>IFERROR(__xludf.DUMMYFUNCTION("""COMPUTED_VALUE"""),"B1809236 ")</f>
        <v>B1809236 </v>
      </c>
      <c r="B7" s="2" t="str">
        <f>IFERROR(__xludf.DUMMYFUNCTION("""COMPUTED_VALUE"""),"Nguyen Minh")</f>
        <v>Nguyen Minh</v>
      </c>
      <c r="C7" s="2" t="str">
        <f>IFERROR(__xludf.DUMMYFUNCTION("""COMPUTED_VALUE"""),"Hieu ")</f>
        <v>Hieu </v>
      </c>
      <c r="D7" s="2" t="str">
        <f>IFERROR(__xludf.DUMMYFUNCTION("""COMPUTED_VALUE"""),"Information Technology")</f>
        <v>Information Technology</v>
      </c>
    </row>
    <row r="8" customHeight="1" spans="1:4">
      <c r="A8" s="2" t="str">
        <f>IFERROR(__xludf.DUMMYFUNCTION("""COMPUTED_VALUE"""),"B1809497 ")</f>
        <v>B1809497 </v>
      </c>
      <c r="B8" s="2" t="str">
        <f>IFERROR(__xludf.DUMMYFUNCTION("""COMPUTED_VALUE"""),"Luong Thi")</f>
        <v>Luong Thi</v>
      </c>
      <c r="C8" s="2" t="str">
        <f>IFERROR(__xludf.DUMMYFUNCTION("""COMPUTED_VALUE"""),"Ni ")</f>
        <v>Ni </v>
      </c>
      <c r="D8" s="2" t="str">
        <f>IFERROR(__xludf.DUMMYFUNCTION("""COMPUTED_VALUE"""),"Information Technology")</f>
        <v>Information Technology</v>
      </c>
    </row>
    <row r="9" customHeight="1" spans="1:4">
      <c r="A9" s="2" t="str">
        <f>IFERROR(__xludf.DUMMYFUNCTION("""COMPUTED_VALUE"""),"B200000")</f>
        <v>B200000</v>
      </c>
      <c r="B9" s="2" t="str">
        <f>IFERROR(__xludf.DUMMYFUNCTION("""COMPUTED_VALUE"""),"Mai Thanh")</f>
        <v>Mai Thanh</v>
      </c>
      <c r="C9" s="2" t="str">
        <f>IFERROR(__xludf.DUMMYFUNCTION("""COMPUTED_VALUE"""),"Dat")</f>
        <v>Dat</v>
      </c>
      <c r="D9" s="2" t="str">
        <f>IFERROR(__xludf.DUMMYFUNCTION("""COMPUTED_VALUE"""),"Information Technology")</f>
        <v>Information Technology</v>
      </c>
    </row>
    <row r="10" customHeight="1" spans="1:4">
      <c r="A10" s="2" t="str">
        <f>IFERROR(__xludf.DUMMYFUNCTION("""COMPUTED_VALUE"""),"S1800005")</f>
        <v>S1800005</v>
      </c>
      <c r="B10" s="2" t="str">
        <f>IFERROR(__xludf.DUMMYFUNCTION("""COMPUTED_VALUE"""),"Le Duy")</f>
        <v>Le Duy</v>
      </c>
      <c r="C10" s="2" t="str">
        <f>IFERROR(__xludf.DUMMYFUNCTION("""COMPUTED_VALUE"""),"Anh")</f>
        <v>Anh</v>
      </c>
      <c r="D10" s="2" t="str">
        <f>IFERROR(__xludf.DUMMYFUNCTION("""COMPUTED_VALUE"""),"Information Technology")</f>
        <v>Information Technology</v>
      </c>
    </row>
    <row r="11" customHeight="1" spans="1:4">
      <c r="A11" s="2"/>
      <c r="B11" s="2"/>
      <c r="C11" s="2"/>
      <c r="D1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"/>
  <sheetViews>
    <sheetView workbookViewId="0">
      <selection activeCell="E1" sqref="E$1:E$1048576"/>
    </sheetView>
  </sheetViews>
  <sheetFormatPr defaultColWidth="12.6285714285714" defaultRowHeight="15.75" customHeight="1" outlineLevelRow="4"/>
  <cols>
    <col min="5" max="5" width="38.7142857142857" customWidth="1"/>
    <col min="6" max="6" width="14.5047619047619" customWidth="1"/>
    <col min="8" max="8" width="8.13333333333333" customWidth="1"/>
  </cols>
  <sheetData>
    <row r="1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2"/>
      <c r="G1" s="2"/>
      <c r="H1" s="2"/>
      <c r="I1" s="2"/>
      <c r="J1" s="2"/>
    </row>
    <row r="2" customHeight="1" spans="1:10">
      <c r="A2" s="2" t="s">
        <v>38</v>
      </c>
      <c r="B2" s="2" t="s">
        <v>39</v>
      </c>
      <c r="C2" s="2" t="s">
        <v>40</v>
      </c>
      <c r="D2" s="2" t="s">
        <v>41</v>
      </c>
      <c r="E2" s="2" t="s">
        <v>82</v>
      </c>
      <c r="F2" s="2"/>
      <c r="G2" s="2"/>
      <c r="H2" s="2"/>
      <c r="I2" s="2"/>
      <c r="J2" s="2"/>
    </row>
    <row r="3" customHeight="1" spans="1:10">
      <c r="A3" s="2" t="s">
        <v>76</v>
      </c>
      <c r="B3" s="2" t="s">
        <v>77</v>
      </c>
      <c r="C3" s="2" t="s">
        <v>71</v>
      </c>
      <c r="D3" s="2" t="s">
        <v>72</v>
      </c>
      <c r="E3" s="2" t="s">
        <v>43</v>
      </c>
      <c r="F3" s="2"/>
      <c r="G3" s="2"/>
      <c r="H3" s="2"/>
      <c r="I3" s="2"/>
      <c r="J3" s="2"/>
    </row>
    <row r="4" customHeight="1" spans="1:10">
      <c r="A4" s="2" t="s">
        <v>79</v>
      </c>
      <c r="B4" s="2" t="s">
        <v>80</v>
      </c>
      <c r="C4" s="2" t="s">
        <v>81</v>
      </c>
      <c r="D4" s="2" t="s">
        <v>72</v>
      </c>
      <c r="E4" s="2" t="s">
        <v>82</v>
      </c>
      <c r="F4" s="2"/>
      <c r="G4" s="2"/>
      <c r="H4" s="2"/>
      <c r="I4" s="2"/>
      <c r="J4" s="2"/>
    </row>
    <row r="5" customHeight="1" spans="1:10">
      <c r="A5" s="2" t="s">
        <v>74</v>
      </c>
      <c r="B5" s="2" t="s">
        <v>75</v>
      </c>
      <c r="C5" s="2" t="s">
        <v>46</v>
      </c>
      <c r="D5" s="2" t="s">
        <v>72</v>
      </c>
      <c r="E5" s="2" t="s">
        <v>43</v>
      </c>
      <c r="F5" s="2"/>
      <c r="G5" s="2"/>
      <c r="H5" s="2"/>
      <c r="I5" s="2"/>
      <c r="J5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workbookViewId="0">
      <selection activeCell="D1" sqref="D1"/>
    </sheetView>
  </sheetViews>
  <sheetFormatPr defaultColWidth="12.6285714285714" defaultRowHeight="15.75" customHeight="1" outlineLevelRow="2" outlineLevelCol="4"/>
  <cols>
    <col min="4" max="4" width="23.7142857142857" customWidth="1"/>
  </cols>
  <sheetData>
    <row r="1" customHeight="1" spans="1:5">
      <c r="A1" s="3" t="str">
        <f>IFERROR(__xludf.DUMMYFUNCTION("QUERY(Tong_Hop!A:J,""select A,B,C,H,J where H contains 'System Administration' and (J='D' or J='F')"",1)"),"MSSV")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IFERROR(__xludf.DUMMYFUNCTION("""COMPUTED_VALUE"""),"TenMH")</f>
        <v>TenMH</v>
      </c>
      <c r="E1" s="3" t="str">
        <f>IFERROR(__xludf.DUMMYFUNCTION("""COMPUTED_VALUE"""),"Diem")</f>
        <v>Diem</v>
      </c>
    </row>
    <row r="2" customHeight="1" spans="1:5">
      <c r="A2" s="4" t="str">
        <f>IFERROR(__xludf.DUMMYFUNCTION("""COMPUTED_VALUE"""),"B200000")</f>
        <v>B200000</v>
      </c>
      <c r="B2" s="4" t="str">
        <f>IFERROR(__xludf.DUMMYFUNCTION("""COMPUTED_VALUE"""),"Mai Thanh")</f>
        <v>Mai Thanh</v>
      </c>
      <c r="C2" s="4" t="str">
        <f>IFERROR(__xludf.DUMMYFUNCTION("""COMPUTED_VALUE"""),"Dat")</f>
        <v>Dat</v>
      </c>
      <c r="D2" s="4" t="str">
        <f>IFERROR(__xludf.DUMMYFUNCTION("""COMPUTED_VALUE"""),"System Administration")</f>
        <v>System Administration</v>
      </c>
      <c r="E2" s="4" t="str">
        <f>IFERROR(__xludf.DUMMYFUNCTION("""COMPUTED_VALUE"""),"F")</f>
        <v>F</v>
      </c>
    </row>
    <row r="3" customHeight="1" spans="1:5">
      <c r="A3" s="4" t="str">
        <f>IFERROR(__xludf.DUMMYFUNCTION("""COMPUTED_VALUE"""),"B1809236 ")</f>
        <v>B1809236 </v>
      </c>
      <c r="B3" s="4" t="str">
        <f>IFERROR(__xludf.DUMMYFUNCTION("""COMPUTED_VALUE"""),"Nguyen Minh")</f>
        <v>Nguyen Minh</v>
      </c>
      <c r="C3" s="4" t="str">
        <f>IFERROR(__xludf.DUMMYFUNCTION("""COMPUTED_VALUE"""),"Hieu ")</f>
        <v>Hieu </v>
      </c>
      <c r="D3" s="4" t="str">
        <f>IFERROR(__xludf.DUMMYFUNCTION("""COMPUTED_VALUE"""),"System Administration")</f>
        <v>System Administration</v>
      </c>
      <c r="E3" s="4" t="str">
        <f>IFERROR(__xludf.DUMMYFUNCTION("""COMPUTED_VALUE"""),"D")</f>
        <v>D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D1" sqref="D1"/>
    </sheetView>
  </sheetViews>
  <sheetFormatPr defaultColWidth="12.6285714285714" defaultRowHeight="15.75" customHeight="1" outlineLevelRow="6" outlineLevelCol="5"/>
  <cols>
    <col min="4" max="4" width="37.2857142857143" customWidth="1"/>
  </cols>
  <sheetData>
    <row r="1" customHeight="1" spans="1:6">
      <c r="A1" s="1" t="str">
        <f>IFERROR(__xludf.DUMMYFUNCTION("QUERY(QUERY(Tong_Hop!A:J,""select A, B, C, F, count(G) where A is not null group by A, B, C, F label count(G) 'SoMon'"",1),""select Col1, Col2, Col3, Col4, Col5 where Col5 &gt; 1 label Col1 'Mã SV', Col2 'Họ', Col3 'Tên', Col4 'Tên ngành', Col5 'Số môn học'"&amp;""",1)"),"Mã SV")</f>
        <v>Mã SV</v>
      </c>
      <c r="B1" s="1" t="str">
        <f>IFERROR(__xludf.DUMMYFUNCTION("""COMPUTED_VALUE"""),"Họ")</f>
        <v>Họ</v>
      </c>
      <c r="C1" s="1" t="str">
        <f>IFERROR(__xludf.DUMMYFUNCTION("""COMPUTED_VALUE"""),"Tên")</f>
        <v>Tên</v>
      </c>
      <c r="D1" s="1" t="str">
        <f>IFERROR(__xludf.DUMMYFUNCTION("""COMPUTED_VALUE"""),"Tên ngành")</f>
        <v>Tên ngành</v>
      </c>
      <c r="E1" s="1" t="str">
        <f>IFERROR(__xludf.DUMMYFUNCTION("""COMPUTED_VALUE"""),"Số môn học")</f>
        <v>Số môn học</v>
      </c>
      <c r="F1" s="2"/>
    </row>
    <row r="2" customHeight="1" spans="1:6">
      <c r="A2" s="2" t="str">
        <f>IFERROR(__xludf.DUMMYFUNCTION("""COMPUTED_VALUE"""),"B1807555 ")</f>
        <v>B1807555 </v>
      </c>
      <c r="B2" s="2" t="str">
        <f>IFERROR(__xludf.DUMMYFUNCTION("""COMPUTED_VALUE"""),"Nguyen Trong")</f>
        <v>Nguyen Trong</v>
      </c>
      <c r="C2" s="2" t="str">
        <f>IFERROR(__xludf.DUMMYFUNCTION("""COMPUTED_VALUE"""),"Hieu ")</f>
        <v>Hieu </v>
      </c>
      <c r="D2" s="2" t="str">
        <f>IFERROR(__xludf.DUMMYFUNCTION("""COMPUTED_VALUE"""),"Computer Networks And Communication")</f>
        <v>Computer Networks And Communication</v>
      </c>
      <c r="E2" s="2">
        <f>IFERROR(__xludf.DUMMYFUNCTION("""COMPUTED_VALUE"""),2)</f>
        <v>2</v>
      </c>
      <c r="F2" s="2"/>
    </row>
    <row r="3" customHeight="1" spans="1:6">
      <c r="A3" s="2" t="str">
        <f>IFERROR(__xludf.DUMMYFUNCTION("""COMPUTED_VALUE"""),"B200000")</f>
        <v>B200000</v>
      </c>
      <c r="B3" s="2" t="str">
        <f>IFERROR(__xludf.DUMMYFUNCTION("""COMPUTED_VALUE"""),"Mai Thanh")</f>
        <v>Mai Thanh</v>
      </c>
      <c r="C3" s="2" t="str">
        <f>IFERROR(__xludf.DUMMYFUNCTION("""COMPUTED_VALUE"""),"Dat")</f>
        <v>Dat</v>
      </c>
      <c r="D3" s="2" t="str">
        <f>IFERROR(__xludf.DUMMYFUNCTION("""COMPUTED_VALUE"""),"Information Technology")</f>
        <v>Information Technology</v>
      </c>
      <c r="E3" s="2">
        <f>IFERROR(__xludf.DUMMYFUNCTION("""COMPUTED_VALUE"""),2)</f>
        <v>2</v>
      </c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customHeight="1" spans="1:6">
      <c r="A7" s="2"/>
      <c r="B7" s="2"/>
      <c r="C7" s="2"/>
      <c r="D7" s="2"/>
      <c r="E7" s="2"/>
      <c r="F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Tong_Hop</vt:lpstr>
      <vt:lpstr>Sinh VIen CNTT</vt:lpstr>
      <vt:lpstr>SV lop_DI8T9A1 mon NT_CNTT</vt:lpstr>
      <vt:lpstr>SV_Diem_D_F</vt:lpstr>
      <vt:lpstr>SV dang ky hoc hon 1 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KIET</cp:lastModifiedBy>
  <dcterms:created xsi:type="dcterms:W3CDTF">2026-01-31T17:46:00Z</dcterms:created>
  <dcterms:modified xsi:type="dcterms:W3CDTF">2026-01-31T17:47:41Z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BE390BEF2B774BF8B7C59B3DAF188C97_12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